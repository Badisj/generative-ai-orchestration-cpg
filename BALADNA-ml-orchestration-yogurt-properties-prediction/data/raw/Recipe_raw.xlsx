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ji11\Desktop\Machine Learning Orchestration\ai-ml-orchestration-cpg\BALADNA-ml-orchestration-yogurt-properties-prediction\data\"/>
    </mc:Choice>
  </mc:AlternateContent>
  <xr:revisionPtr revIDLastSave="0" documentId="13_ncr:1_{3660D925-D9E1-4E6E-843F-A785E039FCD1}" xr6:coauthVersionLast="47" xr6:coauthVersionMax="47" xr10:uidLastSave="{00000000-0000-0000-0000-000000000000}"/>
  <bookViews>
    <workbookView xWindow="-120" yWindow="-120" windowWidth="29040" windowHeight="17520" activeTab="3" xr2:uid="{C297E6C0-83B0-443F-9B33-5F03BE493631}"/>
  </bookViews>
  <sheets>
    <sheet name="Sheet1" sheetId="7" r:id="rId1"/>
    <sheet name="Sheet1 (2)" sheetId="2" r:id="rId2"/>
    <sheet name="Sheet3" sheetId="3" r:id="rId3"/>
    <sheet name="Sheet4 (2)" sheetId="6" r:id="rId4"/>
    <sheet name="Sheet4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4" i="2" l="1" a="1"/>
  <c r="I24" i="2" s="1"/>
  <c r="J17" i="2" a="1"/>
  <c r="J17" i="2" s="1"/>
  <c r="J12" i="2" a="1"/>
  <c r="J12" i="2" s="1"/>
  <c r="J8" i="2" a="1"/>
  <c r="J8" i="2" s="1"/>
  <c r="J4" i="2" a="1"/>
  <c r="J4" i="2" s="1"/>
  <c r="H3" i="2" a="1"/>
  <c r="H3" i="2" s="1"/>
  <c r="I3" i="2" s="1" a="1"/>
  <c r="I3" i="2" s="1"/>
  <c r="C19" i="3"/>
  <c r="C9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<sst xmlns="http://schemas.openxmlformats.org/spreadsheetml/2006/main" count="288" uniqueCount="52">
  <si>
    <t>KG</t>
  </si>
  <si>
    <t>VITAMIN A POWDER Palmitate CWS GF</t>
  </si>
  <si>
    <t>G</t>
  </si>
  <si>
    <t>VITAMIN D3 POWDER CWS Food Grade</t>
  </si>
  <si>
    <t>U</t>
  </si>
  <si>
    <t>RO Water (SFG)</t>
  </si>
  <si>
    <t>L</t>
  </si>
  <si>
    <t>STABILIZER</t>
  </si>
  <si>
    <t>STR Yog 100% Fresh Milk</t>
  </si>
  <si>
    <t>Strawberry Flavouring</t>
  </si>
  <si>
    <t>Sugar Crystal ICUMSA 45</t>
  </si>
  <si>
    <t>STR Yog SMP + IFC</t>
  </si>
  <si>
    <t>Past. Milk Straw (100% Milk)</t>
  </si>
  <si>
    <t>Past. Milk at 2.4% Fat for Mixing</t>
  </si>
  <si>
    <t>Past. Milk Choco (100% Milk)</t>
  </si>
  <si>
    <t>COMPOUND COCOA</t>
  </si>
  <si>
    <t>Stabilizer</t>
  </si>
  <si>
    <t>SKIMMED MILK POWDER</t>
  </si>
  <si>
    <t>AMF</t>
  </si>
  <si>
    <t>CULTURE</t>
  </si>
  <si>
    <t>Red Color</t>
  </si>
  <si>
    <t xml:space="preserve">CULTURE </t>
  </si>
  <si>
    <t>Past. Milk Cow FF</t>
  </si>
  <si>
    <t>RO Water</t>
  </si>
  <si>
    <t>FROZEN CREAM</t>
  </si>
  <si>
    <t>Flavour Chocolate</t>
  </si>
  <si>
    <t>EMULSIFIER</t>
  </si>
  <si>
    <t>YOGHURT SMP+AMF</t>
  </si>
  <si>
    <t>Yogurt Cow FF - 100% Milk</t>
  </si>
  <si>
    <t>YOGHURT SMP+WMP</t>
  </si>
  <si>
    <t>WHOLE MILK POWDER</t>
  </si>
  <si>
    <t>Past. Milk LF Straw (PSM+IFC)</t>
  </si>
  <si>
    <t>Past. Milk LF Choco (SFG)(PSM+IFC)</t>
  </si>
  <si>
    <t>Past. Milk Cow SKM</t>
  </si>
  <si>
    <t>Solid Milk Conc 100% AUSFIN (SFG)</t>
  </si>
  <si>
    <t>Past. Milk Straw FF (100% FMC</t>
  </si>
  <si>
    <t>Past. Milk Choco FF (100%FMC</t>
  </si>
  <si>
    <t>Heat Treatment</t>
  </si>
  <si>
    <t xml:space="preserve">92 to 95 °C /300 Seconds </t>
  </si>
  <si>
    <t>Homogenization Pressure</t>
  </si>
  <si>
    <t>200/45 Bar</t>
  </si>
  <si>
    <t>Homogenization Temperature</t>
  </si>
  <si>
    <t>63– 68°C</t>
  </si>
  <si>
    <t>Outlet Temperature</t>
  </si>
  <si>
    <t>2-5°C (Target 4°C)</t>
  </si>
  <si>
    <t xml:space="preserve">Homogenization Pressure </t>
  </si>
  <si>
    <t>140/40 Bar</t>
  </si>
  <si>
    <t xml:space="preserve">90 to 92 °C /300 Seconds </t>
  </si>
  <si>
    <t xml:space="preserve">Flow Rate </t>
  </si>
  <si>
    <t>30KL</t>
  </si>
  <si>
    <t>60-65°C</t>
  </si>
  <si>
    <t>04 to 05°C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</si>
</sst>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9">
    <xf numFmtId="0" fontId="0" fillId="0" borderId="0" xfId="0"/>
    <xf numFmtId="0" fontId="0" fillId="0" borderId="1" xfId="0" applyBorder="1"/>
    <xf numFmtId="4" fontId="0" fillId="0" borderId="1" xfId="0" applyNumberFormat="1" applyBorder="1"/>
    <xf numFmtId="0" fontId="0" fillId="0" borderId="1" xfId="0" applyBorder="1" applyAlignment="1">
      <alignment vertical="center"/>
    </xf>
    <xf numFmtId="0" fontId="2" fillId="0" borderId="1" xfId="2" applyBorder="1" applyAlignment="1">
      <alignment vertical="top"/>
    </xf>
    <xf numFmtId="164" fontId="2" fillId="0" borderId="1" xfId="2" applyNumberFormat="1" applyBorder="1" applyAlignment="1">
      <alignment horizontal="center" vertical="top"/>
    </xf>
    <xf numFmtId="0" fontId="2" fillId="0" borderId="1" xfId="2" applyBorder="1" applyAlignment="1">
      <alignment horizontal="center" vertical="top"/>
    </xf>
    <xf numFmtId="0" fontId="3" fillId="0" borderId="0" xfId="0" applyFont="1"/>
    <xf numFmtId="0" fontId="0" fillId="0" borderId="1" xfId="0" applyBorder="1" applyAlignment="1">
      <alignment horizontal="center" vertical="center"/>
    </xf>
  </cellXfs>
  <cellStyles count="3">
    <cellStyle name="Normal" xfId="0" builtinId="0"/>
    <cellStyle name="Normal 3" xfId="2" xr:uid="{27DD4631-0EAD-4ED2-A1DF-61008D6FCD61}"/>
    <cellStyle name="Normal 5" xfId="1" xr:uid="{CB65EE6F-4ED7-41ED-9309-31863F6E57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53D22-1323-4234-8434-7E3D704EF56C}">
  <dimension ref="A1:A21"/>
  <sheetViews>
    <sheetView workbookViewId="0">
      <selection sqref="A1:A21"/>
    </sheetView>
  </sheetViews>
  <sheetFormatPr defaultRowHeight="16.5" x14ac:dyDescent="0.3"/>
  <cols>
    <col min="1" max="1" width="35" style="7" bestFit="1" customWidth="1"/>
  </cols>
  <sheetData>
    <row r="1" spans="1:1" x14ac:dyDescent="0.3">
      <c r="A1" s="7" t="s">
        <v>16</v>
      </c>
    </row>
    <row r="2" spans="1:1" x14ac:dyDescent="0.3">
      <c r="A2" s="7" t="s">
        <v>17</v>
      </c>
    </row>
    <row r="3" spans="1:1" x14ac:dyDescent="0.3">
      <c r="A3" s="7" t="s">
        <v>1</v>
      </c>
    </row>
    <row r="4" spans="1:1" x14ac:dyDescent="0.3">
      <c r="A4" s="7" t="s">
        <v>3</v>
      </c>
    </row>
    <row r="5" spans="1:1" x14ac:dyDescent="0.3">
      <c r="A5" s="7" t="s">
        <v>18</v>
      </c>
    </row>
    <row r="6" spans="1:1" x14ac:dyDescent="0.3">
      <c r="A6" s="7" t="s">
        <v>19</v>
      </c>
    </row>
    <row r="7" spans="1:1" x14ac:dyDescent="0.3">
      <c r="A7" s="7" t="s">
        <v>5</v>
      </c>
    </row>
    <row r="8" spans="1:1" x14ac:dyDescent="0.3">
      <c r="A8" s="7" t="s">
        <v>22</v>
      </c>
    </row>
    <row r="9" spans="1:1" x14ac:dyDescent="0.3">
      <c r="A9" s="7" t="s">
        <v>24</v>
      </c>
    </row>
    <row r="10" spans="1:1" x14ac:dyDescent="0.3">
      <c r="A10" s="7" t="s">
        <v>30</v>
      </c>
    </row>
    <row r="11" spans="1:1" x14ac:dyDescent="0.3">
      <c r="A11" s="7" t="s">
        <v>23</v>
      </c>
    </row>
    <row r="12" spans="1:1" x14ac:dyDescent="0.3">
      <c r="A12" s="7" t="s">
        <v>20</v>
      </c>
    </row>
    <row r="13" spans="1:1" x14ac:dyDescent="0.3">
      <c r="A13" s="7" t="s">
        <v>9</v>
      </c>
    </row>
    <row r="14" spans="1:1" x14ac:dyDescent="0.3">
      <c r="A14" s="7" t="s">
        <v>10</v>
      </c>
    </row>
    <row r="15" spans="1:1" x14ac:dyDescent="0.3">
      <c r="A15" s="7" t="s">
        <v>21</v>
      </c>
    </row>
    <row r="16" spans="1:1" x14ac:dyDescent="0.3">
      <c r="A16" s="7" t="s">
        <v>25</v>
      </c>
    </row>
    <row r="17" spans="1:1" x14ac:dyDescent="0.3">
      <c r="A17" s="7" t="s">
        <v>15</v>
      </c>
    </row>
    <row r="18" spans="1:1" x14ac:dyDescent="0.3">
      <c r="A18" s="7" t="s">
        <v>26</v>
      </c>
    </row>
    <row r="19" spans="1:1" x14ac:dyDescent="0.3">
      <c r="A19" s="7" t="s">
        <v>13</v>
      </c>
    </row>
    <row r="20" spans="1:1" x14ac:dyDescent="0.3">
      <c r="A20" s="7" t="s">
        <v>33</v>
      </c>
    </row>
    <row r="21" spans="1:1" x14ac:dyDescent="0.3">
      <c r="A21" s="7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CE515-47E4-430F-9301-128815ECA853}">
  <dimension ref="A1:J46"/>
  <sheetViews>
    <sheetView topLeftCell="A11" workbookViewId="0">
      <selection activeCell="B31" sqref="A28:B31"/>
    </sheetView>
  </sheetViews>
  <sheetFormatPr defaultRowHeight="15" x14ac:dyDescent="0.25"/>
  <cols>
    <col min="1" max="1" width="48.5703125" customWidth="1"/>
    <col min="2" max="2" width="39.28515625" customWidth="1"/>
    <col min="3" max="3" width="12.5703125" customWidth="1"/>
    <col min="4" max="4" width="9.28515625" customWidth="1"/>
    <col min="8" max="10" width="35" bestFit="1" customWidth="1"/>
  </cols>
  <sheetData>
    <row r="1" spans="1:10" ht="22.9" customHeight="1" x14ac:dyDescent="0.25">
      <c r="A1" s="8" t="s">
        <v>27</v>
      </c>
      <c r="B1" s="1" t="s">
        <v>16</v>
      </c>
      <c r="C1" s="1">
        <v>2.5</v>
      </c>
      <c r="D1" s="1" t="s">
        <v>0</v>
      </c>
    </row>
    <row r="2" spans="1:10" ht="22.9" customHeight="1" x14ac:dyDescent="0.25">
      <c r="A2" s="8"/>
      <c r="B2" s="1" t="s">
        <v>17</v>
      </c>
      <c r="C2" s="1">
        <v>119</v>
      </c>
      <c r="D2" s="1" t="s">
        <v>0</v>
      </c>
    </row>
    <row r="3" spans="1:10" ht="22.9" customHeight="1" x14ac:dyDescent="0.25">
      <c r="A3" s="8"/>
      <c r="B3" s="1" t="s">
        <v>1</v>
      </c>
      <c r="C3" s="1">
        <v>10.08</v>
      </c>
      <c r="D3" s="1" t="s">
        <v>2</v>
      </c>
      <c r="H3" t="str" cm="1">
        <f t="array" ref="H3:H13">_xlfn.UNIQUE(B1:B27)</f>
        <v>Stabilizer</v>
      </c>
      <c r="I3" t="str" cm="1">
        <f t="array" ref="I3:I23">_xlfn.UNIQUE(H3:H46)</f>
        <v>Stabilizer</v>
      </c>
    </row>
    <row r="4" spans="1:10" ht="22.9" customHeight="1" x14ac:dyDescent="0.25">
      <c r="A4" s="8"/>
      <c r="B4" s="1" t="s">
        <v>3</v>
      </c>
      <c r="C4" s="1">
        <v>6.08</v>
      </c>
      <c r="D4" s="1" t="s">
        <v>2</v>
      </c>
      <c r="H4" t="str">
        <v>SKIMMED MILK POWDER</v>
      </c>
      <c r="I4" t="str">
        <v>SKIMMED MILK POWDER</v>
      </c>
      <c r="J4" t="str" cm="1">
        <f t="array" ref="J4:J7">_xlfn.UNIQUE('Sheet1 (2)'!A28:A31)</f>
        <v>Heat Treatment</v>
      </c>
    </row>
    <row r="5" spans="1:10" ht="22.9" customHeight="1" x14ac:dyDescent="0.25">
      <c r="A5" s="8"/>
      <c r="B5" s="1" t="s">
        <v>18</v>
      </c>
      <c r="C5" s="1">
        <v>32</v>
      </c>
      <c r="D5" s="1" t="s">
        <v>0</v>
      </c>
      <c r="H5" t="str">
        <v>VITAMIN A POWDER Palmitate CWS GF</v>
      </c>
      <c r="I5" t="str">
        <v>VITAMIN A POWDER Palmitate CWS GF</v>
      </c>
      <c r="J5" t="str">
        <v>Homogenization Pressure</v>
      </c>
    </row>
    <row r="6" spans="1:10" ht="22.9" customHeight="1" x14ac:dyDescent="0.25">
      <c r="A6" s="8"/>
      <c r="B6" s="1" t="s">
        <v>19</v>
      </c>
      <c r="C6" s="1">
        <v>200</v>
      </c>
      <c r="D6" s="1" t="s">
        <v>4</v>
      </c>
      <c r="H6" t="str">
        <v>VITAMIN D3 POWDER CWS Food Grade</v>
      </c>
      <c r="I6" t="str">
        <v>VITAMIN D3 POWDER CWS Food Grade</v>
      </c>
      <c r="J6" t="str">
        <v>Homogenization Temperature</v>
      </c>
    </row>
    <row r="7" spans="1:10" ht="22.9" customHeight="1" x14ac:dyDescent="0.25">
      <c r="A7" s="8"/>
      <c r="B7" s="1" t="s">
        <v>5</v>
      </c>
      <c r="C7" s="1">
        <v>846.5</v>
      </c>
      <c r="D7" s="1" t="s">
        <v>6</v>
      </c>
      <c r="H7" t="str">
        <v>AMF</v>
      </c>
      <c r="I7" t="str">
        <v>AMF</v>
      </c>
      <c r="J7" t="str">
        <v>Outlet Temperature</v>
      </c>
    </row>
    <row r="8" spans="1:10" ht="22.9" customHeight="1" x14ac:dyDescent="0.25">
      <c r="A8" s="8" t="s">
        <v>28</v>
      </c>
      <c r="B8" s="1" t="s">
        <v>16</v>
      </c>
      <c r="C8" s="1">
        <v>3.5</v>
      </c>
      <c r="D8" s="1" t="s">
        <v>0</v>
      </c>
      <c r="H8" t="str">
        <v>CULTURE</v>
      </c>
      <c r="I8" t="str">
        <v>CULTURE</v>
      </c>
      <c r="J8" t="str" cm="1">
        <f t="array" ref="J8:J11">_xlfn.UNIQUE(Sheet3!A20:A23)</f>
        <v>Heat Treatment</v>
      </c>
    </row>
    <row r="9" spans="1:10" ht="22.9" customHeight="1" x14ac:dyDescent="0.25">
      <c r="A9" s="8"/>
      <c r="B9" s="1" t="s">
        <v>17</v>
      </c>
      <c r="C9" s="1">
        <v>30</v>
      </c>
      <c r="D9" s="1" t="s">
        <v>0</v>
      </c>
      <c r="H9" t="str">
        <v>RO Water (SFG)</v>
      </c>
      <c r="I9" t="str">
        <v>RO Water (SFG)</v>
      </c>
      <c r="J9" t="str">
        <v>Homogenization Pressure</v>
      </c>
    </row>
    <row r="10" spans="1:10" ht="22.9" customHeight="1" x14ac:dyDescent="0.25">
      <c r="A10" s="8"/>
      <c r="B10" s="1" t="s">
        <v>1</v>
      </c>
      <c r="C10" s="1">
        <v>10.08</v>
      </c>
      <c r="D10" s="1" t="s">
        <v>2</v>
      </c>
      <c r="H10" t="str">
        <v>Past. Milk Cow FF</v>
      </c>
      <c r="I10" t="str">
        <v>Past. Milk Cow FF</v>
      </c>
      <c r="J10" t="str">
        <v>Homogenization Temperature</v>
      </c>
    </row>
    <row r="11" spans="1:10" ht="22.9" customHeight="1" x14ac:dyDescent="0.25">
      <c r="A11" s="8"/>
      <c r="B11" s="1" t="s">
        <v>3</v>
      </c>
      <c r="C11" s="1">
        <v>6.08</v>
      </c>
      <c r="D11" s="1" t="s">
        <v>2</v>
      </c>
      <c r="H11" t="str">
        <v>FROZEN CREAM</v>
      </c>
      <c r="I11" t="str">
        <v>FROZEN CREAM</v>
      </c>
      <c r="J11" t="str">
        <v>Outlet Temperature</v>
      </c>
    </row>
    <row r="12" spans="1:10" ht="22.9" customHeight="1" x14ac:dyDescent="0.25">
      <c r="A12" s="8"/>
      <c r="B12" s="1" t="s">
        <v>19</v>
      </c>
      <c r="C12" s="1">
        <v>200</v>
      </c>
      <c r="D12" s="1" t="s">
        <v>4</v>
      </c>
      <c r="H12" t="str">
        <v>WHOLE MILK POWDER</v>
      </c>
      <c r="I12" t="str">
        <v>WHOLE MILK POWDER</v>
      </c>
      <c r="J12" t="str" cm="1">
        <f t="array" ref="J12:J16">_xlfn.UNIQUE('Sheet4 (2)'!A26:A30)</f>
        <v xml:space="preserve">Homogenization Pressure </v>
      </c>
    </row>
    <row r="13" spans="1:10" ht="22.9" customHeight="1" x14ac:dyDescent="0.25">
      <c r="A13" s="8"/>
      <c r="B13" s="1" t="s">
        <v>22</v>
      </c>
      <c r="C13" s="1">
        <v>966.5</v>
      </c>
      <c r="D13" s="1" t="s">
        <v>6</v>
      </c>
      <c r="H13" t="str">
        <v>RO Water</v>
      </c>
      <c r="I13" t="str">
        <v>RO Water</v>
      </c>
      <c r="J13" t="str">
        <v>Heat Treatment</v>
      </c>
    </row>
    <row r="14" spans="1:10" ht="22.9" customHeight="1" x14ac:dyDescent="0.25">
      <c r="A14" s="8" t="s">
        <v>27</v>
      </c>
      <c r="B14" s="1" t="s">
        <v>17</v>
      </c>
      <c r="C14" s="1">
        <v>230</v>
      </c>
      <c r="D14" s="1" t="s">
        <v>0</v>
      </c>
      <c r="H14" t="s">
        <v>20</v>
      </c>
      <c r="I14" t="str">
        <v>Red Color</v>
      </c>
      <c r="J14" t="str">
        <v xml:space="preserve">Flow Rate </v>
      </c>
    </row>
    <row r="15" spans="1:10" ht="22.9" customHeight="1" x14ac:dyDescent="0.25">
      <c r="A15" s="8"/>
      <c r="B15" s="1" t="s">
        <v>1</v>
      </c>
      <c r="C15" s="1">
        <v>10.08</v>
      </c>
      <c r="D15" s="1" t="s">
        <v>2</v>
      </c>
      <c r="H15" t="s">
        <v>9</v>
      </c>
      <c r="I15" t="str">
        <v>Strawberry Flavouring</v>
      </c>
      <c r="J15" t="str">
        <v>Homogenization Temperature</v>
      </c>
    </row>
    <row r="16" spans="1:10" ht="22.9" customHeight="1" x14ac:dyDescent="0.25">
      <c r="A16" s="8"/>
      <c r="B16" s="1" t="s">
        <v>3</v>
      </c>
      <c r="C16" s="1">
        <v>6.08</v>
      </c>
      <c r="D16" s="1" t="s">
        <v>2</v>
      </c>
      <c r="H16" t="s">
        <v>16</v>
      </c>
      <c r="I16" t="str">
        <v>Sugar Crystal ICUMSA 45</v>
      </c>
      <c r="J16" t="str">
        <v>Outlet Temperature</v>
      </c>
    </row>
    <row r="17" spans="1:10" ht="22.9" customHeight="1" x14ac:dyDescent="0.25">
      <c r="A17" s="8"/>
      <c r="B17" s="1" t="s">
        <v>19</v>
      </c>
      <c r="C17" s="1">
        <v>200</v>
      </c>
      <c r="D17" s="1" t="s">
        <v>4</v>
      </c>
      <c r="H17" t="s">
        <v>10</v>
      </c>
      <c r="I17" t="str">
        <v xml:space="preserve">CULTURE </v>
      </c>
      <c r="J17" t="str" cm="1">
        <f t="array" ref="J17:J21">_xlfn.UNIQUE(Sheet4!A23:A27)</f>
        <v xml:space="preserve">Homogenization Pressure </v>
      </c>
    </row>
    <row r="18" spans="1:10" ht="22.9" customHeight="1" x14ac:dyDescent="0.25">
      <c r="A18" s="8"/>
      <c r="B18" s="1" t="s">
        <v>24</v>
      </c>
      <c r="C18" s="1">
        <v>85</v>
      </c>
      <c r="D18" s="1" t="s">
        <v>0</v>
      </c>
      <c r="H18" t="s">
        <v>17</v>
      </c>
      <c r="I18" t="str">
        <v>Flavour Chocolate</v>
      </c>
      <c r="J18" t="str">
        <v>Heat Treatment</v>
      </c>
    </row>
    <row r="19" spans="1:10" ht="22.9" customHeight="1" x14ac:dyDescent="0.25">
      <c r="A19" s="8"/>
      <c r="B19" s="1" t="s">
        <v>16</v>
      </c>
      <c r="C19" s="1">
        <v>3</v>
      </c>
      <c r="D19" s="1" t="s">
        <v>0</v>
      </c>
      <c r="H19" t="s">
        <v>1</v>
      </c>
      <c r="I19" t="str">
        <v>COMPOUND COCOA</v>
      </c>
      <c r="J19" t="str">
        <v xml:space="preserve">Flow Rate </v>
      </c>
    </row>
    <row r="20" spans="1:10" ht="22.9" customHeight="1" x14ac:dyDescent="0.25">
      <c r="A20" s="8"/>
      <c r="B20" s="1" t="s">
        <v>5</v>
      </c>
      <c r="C20" s="1">
        <v>797</v>
      </c>
      <c r="D20" s="1" t="s">
        <v>6</v>
      </c>
      <c r="H20" t="s">
        <v>3</v>
      </c>
      <c r="I20" t="str">
        <v>EMULSIFIER</v>
      </c>
      <c r="J20" t="str">
        <v>Homogenization Temperature</v>
      </c>
    </row>
    <row r="21" spans="1:10" ht="22.9" customHeight="1" x14ac:dyDescent="0.25">
      <c r="A21" s="8" t="s">
        <v>29</v>
      </c>
      <c r="B21" s="1" t="s">
        <v>16</v>
      </c>
      <c r="C21" s="1">
        <v>2.5</v>
      </c>
      <c r="D21" s="1" t="s">
        <v>0</v>
      </c>
      <c r="H21" t="s">
        <v>21</v>
      </c>
      <c r="I21" t="str">
        <v>Past. Milk at 2.4% Fat for Mixing</v>
      </c>
      <c r="J21" t="str">
        <v>Outlet Temperature</v>
      </c>
    </row>
    <row r="22" spans="1:10" ht="22.9" customHeight="1" x14ac:dyDescent="0.25">
      <c r="A22" s="8"/>
      <c r="B22" s="1" t="s">
        <v>17</v>
      </c>
      <c r="C22" s="1">
        <v>12</v>
      </c>
      <c r="D22" s="1" t="s">
        <v>0</v>
      </c>
      <c r="H22" t="s">
        <v>22</v>
      </c>
      <c r="I22" t="str">
        <v>Past. Milk Cow SKM</v>
      </c>
    </row>
    <row r="23" spans="1:10" ht="22.9" customHeight="1" x14ac:dyDescent="0.25">
      <c r="A23" s="8"/>
      <c r="B23" s="1" t="s">
        <v>1</v>
      </c>
      <c r="C23" s="1">
        <v>10.08</v>
      </c>
      <c r="D23" s="1" t="s">
        <v>2</v>
      </c>
      <c r="H23" t="s">
        <v>24</v>
      </c>
      <c r="I23" t="str">
        <v>Solid Milk Conc 100% AUSFIN (SFG)</v>
      </c>
    </row>
    <row r="24" spans="1:10" ht="22.9" customHeight="1" x14ac:dyDescent="0.25">
      <c r="A24" s="8"/>
      <c r="B24" s="1" t="s">
        <v>3</v>
      </c>
      <c r="C24" s="1">
        <v>6.08</v>
      </c>
      <c r="D24" s="1" t="s">
        <v>2</v>
      </c>
      <c r="H24" t="s">
        <v>19</v>
      </c>
      <c r="I24" t="str" cm="1">
        <f t="array" ref="I24:I29">_xlfn.UNIQUE(J4:J21)</f>
        <v>Heat Treatment</v>
      </c>
    </row>
    <row r="25" spans="1:10" ht="22.9" customHeight="1" x14ac:dyDescent="0.25">
      <c r="A25" s="8"/>
      <c r="B25" s="1" t="s">
        <v>30</v>
      </c>
      <c r="C25" s="1">
        <v>125.5</v>
      </c>
      <c r="D25" s="1" t="s">
        <v>0</v>
      </c>
      <c r="H25" t="s">
        <v>23</v>
      </c>
      <c r="I25" t="str">
        <v>Homogenization Pressure</v>
      </c>
    </row>
    <row r="26" spans="1:10" ht="22.9" customHeight="1" x14ac:dyDescent="0.25">
      <c r="A26" s="8"/>
      <c r="B26" s="1" t="s">
        <v>19</v>
      </c>
      <c r="C26" s="1">
        <v>200</v>
      </c>
      <c r="D26" s="1" t="s">
        <v>4</v>
      </c>
      <c r="H26" t="s">
        <v>25</v>
      </c>
      <c r="I26" t="str">
        <v>Homogenization Temperature</v>
      </c>
    </row>
    <row r="27" spans="1:10" ht="22.9" customHeight="1" x14ac:dyDescent="0.25">
      <c r="A27" s="8"/>
      <c r="B27" s="1" t="s">
        <v>23</v>
      </c>
      <c r="C27" s="1">
        <v>860</v>
      </c>
      <c r="D27" s="1" t="s">
        <v>6</v>
      </c>
      <c r="H27" t="s">
        <v>15</v>
      </c>
      <c r="I27" t="str">
        <v>Outlet Temperature</v>
      </c>
    </row>
    <row r="28" spans="1:10" x14ac:dyDescent="0.25">
      <c r="A28" s="1" t="s">
        <v>37</v>
      </c>
      <c r="B28" s="1" t="s">
        <v>38</v>
      </c>
      <c r="H28" t="s">
        <v>10</v>
      </c>
      <c r="I28" t="str">
        <v xml:space="preserve">Homogenization Pressure </v>
      </c>
    </row>
    <row r="29" spans="1:10" x14ac:dyDescent="0.25">
      <c r="A29" s="1" t="s">
        <v>39</v>
      </c>
      <c r="B29" s="1" t="s">
        <v>40</v>
      </c>
      <c r="H29" t="s">
        <v>16</v>
      </c>
      <c r="I29" t="str">
        <v xml:space="preserve">Flow Rate </v>
      </c>
    </row>
    <row r="30" spans="1:10" x14ac:dyDescent="0.25">
      <c r="A30" s="1" t="s">
        <v>41</v>
      </c>
      <c r="B30" s="1" t="s">
        <v>42</v>
      </c>
      <c r="H30" t="s">
        <v>1</v>
      </c>
    </row>
    <row r="31" spans="1:10" x14ac:dyDescent="0.25">
      <c r="A31" s="1" t="s">
        <v>43</v>
      </c>
      <c r="B31" s="1" t="s">
        <v>44</v>
      </c>
      <c r="H31" t="s">
        <v>3</v>
      </c>
    </row>
    <row r="32" spans="1:10" x14ac:dyDescent="0.25">
      <c r="H32" t="s">
        <v>26</v>
      </c>
    </row>
    <row r="33" spans="8:8" x14ac:dyDescent="0.25">
      <c r="H33" t="s">
        <v>13</v>
      </c>
    </row>
    <row r="34" spans="8:8" x14ac:dyDescent="0.25">
      <c r="H34" t="s">
        <v>24</v>
      </c>
    </row>
    <row r="35" spans="8:8" x14ac:dyDescent="0.25">
      <c r="H35" t="s">
        <v>33</v>
      </c>
    </row>
    <row r="36" spans="8:8" x14ac:dyDescent="0.25">
      <c r="H36" t="s">
        <v>34</v>
      </c>
    </row>
    <row r="37" spans="8:8" x14ac:dyDescent="0.25">
      <c r="H37" t="s">
        <v>20</v>
      </c>
    </row>
    <row r="38" spans="8:8" x14ac:dyDescent="0.25">
      <c r="H38" t="s">
        <v>9</v>
      </c>
    </row>
    <row r="39" spans="8:8" x14ac:dyDescent="0.25">
      <c r="H39" t="s">
        <v>10</v>
      </c>
    </row>
    <row r="40" spans="8:8" x14ac:dyDescent="0.25">
      <c r="H40" t="s">
        <v>16</v>
      </c>
    </row>
    <row r="41" spans="8:8" x14ac:dyDescent="0.25">
      <c r="H41" t="s">
        <v>1</v>
      </c>
    </row>
    <row r="42" spans="8:8" x14ac:dyDescent="0.25">
      <c r="H42" t="s">
        <v>3</v>
      </c>
    </row>
    <row r="43" spans="8:8" x14ac:dyDescent="0.25">
      <c r="H43" t="s">
        <v>13</v>
      </c>
    </row>
    <row r="44" spans="8:8" x14ac:dyDescent="0.25">
      <c r="H44" t="s">
        <v>24</v>
      </c>
    </row>
    <row r="45" spans="8:8" x14ac:dyDescent="0.25">
      <c r="H45" t="s">
        <v>33</v>
      </c>
    </row>
    <row r="46" spans="8:8" x14ac:dyDescent="0.25">
      <c r="H46" t="s">
        <v>34</v>
      </c>
    </row>
  </sheetData>
  <mergeCells count="4">
    <mergeCell ref="A8:A13"/>
    <mergeCell ref="A14:A20"/>
    <mergeCell ref="A21:A27"/>
    <mergeCell ref="A1:A7"/>
  </mergeCells>
  <pageMargins left="0.7" right="0.7" top="0.75" bottom="0.75" header="0.3" footer="0.3"/>
  <headerFooter>
    <oddFooter>&amp;R_x000D_&amp;1#&amp;"Calibri"&amp;9&amp;K0000FF C1 -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1DA8B-33A7-45B3-8C2F-C182F9E458C3}">
  <dimension ref="A1:D23"/>
  <sheetViews>
    <sheetView workbookViewId="0">
      <selection activeCell="B5" sqref="B5"/>
    </sheetView>
  </sheetViews>
  <sheetFormatPr defaultRowHeight="15" x14ac:dyDescent="0.25"/>
  <cols>
    <col min="1" max="2" width="32.7109375" customWidth="1"/>
    <col min="3" max="3" width="16.140625" customWidth="1"/>
    <col min="4" max="4" width="15.42578125" customWidth="1"/>
  </cols>
  <sheetData>
    <row r="1" spans="1:4" ht="19.899999999999999" customHeight="1" x14ac:dyDescent="0.25">
      <c r="A1" s="8" t="s">
        <v>8</v>
      </c>
      <c r="B1" s="1" t="s">
        <v>20</v>
      </c>
      <c r="C1" s="1">
        <v>0.6</v>
      </c>
      <c r="D1" s="1" t="s">
        <v>0</v>
      </c>
    </row>
    <row r="2" spans="1:4" ht="19.899999999999999" customHeight="1" x14ac:dyDescent="0.25">
      <c r="A2" s="8"/>
      <c r="B2" s="1" t="s">
        <v>9</v>
      </c>
      <c r="C2" s="1">
        <v>1.2</v>
      </c>
      <c r="D2" s="1" t="s">
        <v>0</v>
      </c>
    </row>
    <row r="3" spans="1:4" ht="19.899999999999999" customHeight="1" x14ac:dyDescent="0.25">
      <c r="A3" s="8"/>
      <c r="B3" s="1" t="s">
        <v>16</v>
      </c>
      <c r="C3" s="1">
        <v>2.5</v>
      </c>
      <c r="D3" s="1" t="s">
        <v>0</v>
      </c>
    </row>
    <row r="4" spans="1:4" ht="19.899999999999999" customHeight="1" x14ac:dyDescent="0.25">
      <c r="A4" s="8"/>
      <c r="B4" s="1" t="s">
        <v>10</v>
      </c>
      <c r="C4" s="1">
        <v>90</v>
      </c>
      <c r="D4" s="1" t="s">
        <v>0</v>
      </c>
    </row>
    <row r="5" spans="1:4" ht="19.899999999999999" customHeight="1" x14ac:dyDescent="0.25">
      <c r="A5" s="8"/>
      <c r="B5" s="1" t="s">
        <v>17</v>
      </c>
      <c r="C5" s="1">
        <v>30</v>
      </c>
      <c r="D5" s="1" t="s">
        <v>0</v>
      </c>
    </row>
    <row r="6" spans="1:4" ht="19.899999999999999" customHeight="1" x14ac:dyDescent="0.25">
      <c r="A6" s="8"/>
      <c r="B6" s="1" t="s">
        <v>1</v>
      </c>
      <c r="C6" s="1">
        <v>10.08</v>
      </c>
      <c r="D6" s="1" t="s">
        <v>2</v>
      </c>
    </row>
    <row r="7" spans="1:4" ht="19.899999999999999" customHeight="1" x14ac:dyDescent="0.25">
      <c r="A7" s="8"/>
      <c r="B7" s="1" t="s">
        <v>3</v>
      </c>
      <c r="C7" s="1">
        <v>6.08</v>
      </c>
      <c r="D7" s="1" t="s">
        <v>2</v>
      </c>
    </row>
    <row r="8" spans="1:4" ht="19.899999999999999" customHeight="1" x14ac:dyDescent="0.25">
      <c r="A8" s="8"/>
      <c r="B8" s="1" t="s">
        <v>21</v>
      </c>
      <c r="C8" s="1">
        <v>200</v>
      </c>
      <c r="D8" s="1" t="s">
        <v>4</v>
      </c>
    </row>
    <row r="9" spans="1:4" ht="19.899999999999999" customHeight="1" x14ac:dyDescent="0.25">
      <c r="A9" s="8"/>
      <c r="B9" s="1" t="s">
        <v>22</v>
      </c>
      <c r="C9" s="1">
        <f>874.8+0.9</f>
        <v>875.69999999999993</v>
      </c>
      <c r="D9" s="1" t="s">
        <v>6</v>
      </c>
    </row>
    <row r="10" spans="1:4" ht="19.899999999999999" customHeight="1" x14ac:dyDescent="0.25">
      <c r="A10" s="8" t="s">
        <v>11</v>
      </c>
      <c r="B10" s="1" t="s">
        <v>20</v>
      </c>
      <c r="C10" s="1">
        <v>0.6</v>
      </c>
      <c r="D10" s="1" t="s">
        <v>0</v>
      </c>
    </row>
    <row r="11" spans="1:4" ht="19.899999999999999" customHeight="1" x14ac:dyDescent="0.25">
      <c r="A11" s="8"/>
      <c r="B11" s="1" t="s">
        <v>9</v>
      </c>
      <c r="C11" s="1">
        <v>1.2</v>
      </c>
      <c r="D11" s="1" t="s">
        <v>0</v>
      </c>
    </row>
    <row r="12" spans="1:4" ht="19.899999999999999" customHeight="1" x14ac:dyDescent="0.25">
      <c r="A12" s="8"/>
      <c r="B12" s="1" t="s">
        <v>10</v>
      </c>
      <c r="C12" s="1">
        <v>90</v>
      </c>
      <c r="D12" s="1" t="s">
        <v>0</v>
      </c>
    </row>
    <row r="13" spans="1:4" ht="19.899999999999999" customHeight="1" x14ac:dyDescent="0.25">
      <c r="A13" s="8"/>
      <c r="B13" s="1" t="s">
        <v>17</v>
      </c>
      <c r="C13" s="1">
        <v>110</v>
      </c>
      <c r="D13" s="1" t="s">
        <v>0</v>
      </c>
    </row>
    <row r="14" spans="1:4" ht="19.899999999999999" customHeight="1" x14ac:dyDescent="0.25">
      <c r="A14" s="8"/>
      <c r="B14" s="1" t="s">
        <v>1</v>
      </c>
      <c r="C14" s="1">
        <v>10.08</v>
      </c>
      <c r="D14" s="1" t="s">
        <v>2</v>
      </c>
    </row>
    <row r="15" spans="1:4" ht="19.899999999999999" customHeight="1" x14ac:dyDescent="0.25">
      <c r="A15" s="8"/>
      <c r="B15" s="1" t="s">
        <v>3</v>
      </c>
      <c r="C15" s="1">
        <v>6.08</v>
      </c>
      <c r="D15" s="1" t="s">
        <v>2</v>
      </c>
    </row>
    <row r="16" spans="1:4" ht="19.899999999999999" customHeight="1" x14ac:dyDescent="0.25">
      <c r="A16" s="8"/>
      <c r="B16" s="1" t="s">
        <v>24</v>
      </c>
      <c r="C16" s="1">
        <v>30</v>
      </c>
      <c r="D16" s="1" t="s">
        <v>0</v>
      </c>
    </row>
    <row r="17" spans="1:4" ht="19.899999999999999" customHeight="1" x14ac:dyDescent="0.25">
      <c r="A17" s="8"/>
      <c r="B17" s="1" t="s">
        <v>19</v>
      </c>
      <c r="C17" s="1">
        <v>200</v>
      </c>
      <c r="D17" s="1" t="s">
        <v>4</v>
      </c>
    </row>
    <row r="18" spans="1:4" ht="19.899999999999999" customHeight="1" x14ac:dyDescent="0.25">
      <c r="A18" s="8"/>
      <c r="B18" s="1" t="s">
        <v>16</v>
      </c>
      <c r="C18" s="1">
        <v>3</v>
      </c>
      <c r="D18" s="1" t="s">
        <v>0</v>
      </c>
    </row>
    <row r="19" spans="1:4" ht="19.899999999999999" customHeight="1" x14ac:dyDescent="0.25">
      <c r="A19" s="8"/>
      <c r="B19" s="1" t="s">
        <v>23</v>
      </c>
      <c r="C19" s="1">
        <f>764.7+0.5</f>
        <v>765.2</v>
      </c>
      <c r="D19" s="1" t="s">
        <v>6</v>
      </c>
    </row>
    <row r="20" spans="1:4" x14ac:dyDescent="0.25">
      <c r="A20" s="1" t="s">
        <v>37</v>
      </c>
      <c r="B20" s="1" t="s">
        <v>38</v>
      </c>
    </row>
    <row r="21" spans="1:4" x14ac:dyDescent="0.25">
      <c r="A21" s="1" t="s">
        <v>39</v>
      </c>
      <c r="B21" s="1" t="s">
        <v>40</v>
      </c>
    </row>
    <row r="22" spans="1:4" x14ac:dyDescent="0.25">
      <c r="A22" s="1" t="s">
        <v>41</v>
      </c>
      <c r="B22" s="1" t="s">
        <v>42</v>
      </c>
    </row>
    <row r="23" spans="1:4" x14ac:dyDescent="0.25">
      <c r="A23" s="1" t="s">
        <v>43</v>
      </c>
      <c r="B23" s="1" t="s">
        <v>44</v>
      </c>
    </row>
  </sheetData>
  <mergeCells count="2">
    <mergeCell ref="A1:A9"/>
    <mergeCell ref="A10:A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22583-7544-4A4A-BAD3-1E819B9FC8E9}">
  <dimension ref="A1:D30"/>
  <sheetViews>
    <sheetView tabSelected="1" workbookViewId="0">
      <selection activeCell="B7" sqref="B7"/>
    </sheetView>
  </sheetViews>
  <sheetFormatPr defaultRowHeight="15" x14ac:dyDescent="0.25"/>
  <cols>
    <col min="1" max="1" width="37.5703125" customWidth="1"/>
    <col min="2" max="2" width="40.7109375" customWidth="1"/>
  </cols>
  <sheetData>
    <row r="1" spans="1:4" x14ac:dyDescent="0.25">
      <c r="A1" s="8" t="s">
        <v>14</v>
      </c>
      <c r="B1" s="1" t="s">
        <v>25</v>
      </c>
      <c r="C1" s="2">
        <v>1.8</v>
      </c>
      <c r="D1" s="1" t="s">
        <v>0</v>
      </c>
    </row>
    <row r="2" spans="1:4" x14ac:dyDescent="0.25">
      <c r="A2" s="8"/>
      <c r="B2" s="1" t="s">
        <v>15</v>
      </c>
      <c r="C2" s="1">
        <v>10</v>
      </c>
      <c r="D2" s="1" t="s">
        <v>0</v>
      </c>
    </row>
    <row r="3" spans="1:4" x14ac:dyDescent="0.25">
      <c r="A3" s="8"/>
      <c r="B3" s="1" t="s">
        <v>10</v>
      </c>
      <c r="C3" s="1">
        <v>72</v>
      </c>
      <c r="D3" s="1" t="s">
        <v>0</v>
      </c>
    </row>
    <row r="4" spans="1:4" x14ac:dyDescent="0.25">
      <c r="A4" s="8"/>
      <c r="B4" s="1" t="s">
        <v>16</v>
      </c>
      <c r="C4" s="1">
        <v>1.4</v>
      </c>
      <c r="D4" s="1" t="s">
        <v>0</v>
      </c>
    </row>
    <row r="5" spans="1:4" x14ac:dyDescent="0.25">
      <c r="A5" s="8"/>
      <c r="B5" s="1" t="s">
        <v>1</v>
      </c>
      <c r="C5" s="1">
        <v>10.8</v>
      </c>
      <c r="D5" s="1" t="s">
        <v>2</v>
      </c>
    </row>
    <row r="6" spans="1:4" x14ac:dyDescent="0.25">
      <c r="A6" s="8"/>
      <c r="B6" s="1" t="s">
        <v>3</v>
      </c>
      <c r="C6" s="1">
        <v>6.08</v>
      </c>
      <c r="D6" s="1" t="s">
        <v>2</v>
      </c>
    </row>
    <row r="7" spans="1:4" x14ac:dyDescent="0.25">
      <c r="A7" s="8"/>
      <c r="B7" s="1" t="s">
        <v>26</v>
      </c>
      <c r="C7" s="1">
        <v>0.3</v>
      </c>
      <c r="D7" s="1" t="s">
        <v>0</v>
      </c>
    </row>
    <row r="8" spans="1:4" x14ac:dyDescent="0.25">
      <c r="A8" s="8"/>
      <c r="B8" s="1" t="s">
        <v>13</v>
      </c>
      <c r="C8" s="1">
        <v>931.3</v>
      </c>
      <c r="D8" s="1" t="s">
        <v>6</v>
      </c>
    </row>
    <row r="9" spans="1:4" x14ac:dyDescent="0.25">
      <c r="A9" s="8" t="s">
        <v>32</v>
      </c>
      <c r="B9" s="1" t="s">
        <v>25</v>
      </c>
      <c r="C9" s="3">
        <v>1.8</v>
      </c>
      <c r="D9" s="3" t="s">
        <v>0</v>
      </c>
    </row>
    <row r="10" spans="1:4" x14ac:dyDescent="0.25">
      <c r="A10" s="8"/>
      <c r="B10" s="3" t="s">
        <v>15</v>
      </c>
      <c r="C10" s="3">
        <v>10</v>
      </c>
      <c r="D10" s="3" t="s">
        <v>0</v>
      </c>
    </row>
    <row r="11" spans="1:4" x14ac:dyDescent="0.25">
      <c r="A11" s="8"/>
      <c r="B11" s="3" t="s">
        <v>10</v>
      </c>
      <c r="C11" s="3">
        <v>72</v>
      </c>
      <c r="D11" s="3" t="s">
        <v>0</v>
      </c>
    </row>
    <row r="12" spans="1:4" x14ac:dyDescent="0.25">
      <c r="A12" s="8"/>
      <c r="B12" s="3" t="s">
        <v>7</v>
      </c>
      <c r="C12" s="3">
        <v>1.5</v>
      </c>
      <c r="D12" s="3" t="s">
        <v>0</v>
      </c>
    </row>
    <row r="13" spans="1:4" x14ac:dyDescent="0.25">
      <c r="A13" s="8"/>
      <c r="B13" s="3" t="s">
        <v>1</v>
      </c>
      <c r="C13" s="3">
        <v>10.8</v>
      </c>
      <c r="D13" s="3" t="s">
        <v>2</v>
      </c>
    </row>
    <row r="14" spans="1:4" x14ac:dyDescent="0.25">
      <c r="A14" s="8"/>
      <c r="B14" s="3" t="s">
        <v>3</v>
      </c>
      <c r="C14" s="3">
        <v>6.08</v>
      </c>
      <c r="D14" s="3" t="s">
        <v>2</v>
      </c>
    </row>
    <row r="15" spans="1:4" x14ac:dyDescent="0.25">
      <c r="A15" s="8"/>
      <c r="B15" s="3" t="s">
        <v>26</v>
      </c>
      <c r="C15" s="3">
        <v>0.2</v>
      </c>
      <c r="D15" s="3" t="s">
        <v>0</v>
      </c>
    </row>
    <row r="16" spans="1:4" x14ac:dyDescent="0.25">
      <c r="A16" s="8"/>
      <c r="B16" s="3" t="s">
        <v>24</v>
      </c>
      <c r="C16" s="3">
        <v>51</v>
      </c>
      <c r="D16" s="3" t="s">
        <v>0</v>
      </c>
    </row>
    <row r="17" spans="1:4" x14ac:dyDescent="0.25">
      <c r="A17" s="8"/>
      <c r="B17" s="3" t="s">
        <v>33</v>
      </c>
      <c r="C17" s="3">
        <v>863.5</v>
      </c>
      <c r="D17" s="3" t="s">
        <v>6</v>
      </c>
    </row>
    <row r="18" spans="1:4" x14ac:dyDescent="0.25">
      <c r="A18" s="8" t="s">
        <v>36</v>
      </c>
      <c r="B18" s="4" t="s">
        <v>25</v>
      </c>
      <c r="C18" s="3">
        <v>0.09</v>
      </c>
      <c r="D18" s="3" t="s">
        <v>0</v>
      </c>
    </row>
    <row r="19" spans="1:4" x14ac:dyDescent="0.25">
      <c r="A19" s="8"/>
      <c r="B19" s="4" t="s">
        <v>15</v>
      </c>
      <c r="C19" s="3">
        <v>2</v>
      </c>
      <c r="D19" s="3" t="s">
        <v>0</v>
      </c>
    </row>
    <row r="20" spans="1:4" x14ac:dyDescent="0.25">
      <c r="A20" s="8"/>
      <c r="B20" s="4" t="s">
        <v>10</v>
      </c>
      <c r="C20" s="3">
        <v>10</v>
      </c>
      <c r="D20" s="3" t="s">
        <v>0</v>
      </c>
    </row>
    <row r="21" spans="1:4" x14ac:dyDescent="0.25">
      <c r="A21" s="8"/>
      <c r="B21" s="4" t="s">
        <v>7</v>
      </c>
      <c r="C21" s="3">
        <v>80</v>
      </c>
      <c r="D21" s="3" t="s">
        <v>0</v>
      </c>
    </row>
    <row r="22" spans="1:4" x14ac:dyDescent="0.25">
      <c r="A22" s="8"/>
      <c r="B22" s="4" t="s">
        <v>1</v>
      </c>
      <c r="C22" s="3">
        <v>10.8</v>
      </c>
      <c r="D22" s="3" t="s">
        <v>2</v>
      </c>
    </row>
    <row r="23" spans="1:4" x14ac:dyDescent="0.25">
      <c r="A23" s="8"/>
      <c r="B23" s="4" t="s">
        <v>3</v>
      </c>
      <c r="C23" s="3">
        <v>6.08</v>
      </c>
      <c r="D23" s="3" t="s">
        <v>2</v>
      </c>
    </row>
    <row r="24" spans="1:4" x14ac:dyDescent="0.25">
      <c r="A24" s="8"/>
      <c r="B24" s="4" t="s">
        <v>26</v>
      </c>
      <c r="C24" s="3">
        <v>90</v>
      </c>
      <c r="D24" s="3" t="s">
        <v>0</v>
      </c>
    </row>
    <row r="25" spans="1:4" x14ac:dyDescent="0.25">
      <c r="A25" s="8"/>
      <c r="B25" s="4" t="s">
        <v>34</v>
      </c>
      <c r="C25" s="3">
        <v>1.4</v>
      </c>
      <c r="D25" s="3" t="s">
        <v>0</v>
      </c>
    </row>
    <row r="26" spans="1:4" x14ac:dyDescent="0.25">
      <c r="A26" s="4" t="s">
        <v>45</v>
      </c>
      <c r="B26" s="4" t="s">
        <v>46</v>
      </c>
    </row>
    <row r="27" spans="1:4" x14ac:dyDescent="0.25">
      <c r="A27" s="4" t="s">
        <v>37</v>
      </c>
      <c r="B27" s="4" t="s">
        <v>47</v>
      </c>
    </row>
    <row r="28" spans="1:4" x14ac:dyDescent="0.25">
      <c r="A28" s="4" t="s">
        <v>48</v>
      </c>
      <c r="B28" s="4" t="s">
        <v>49</v>
      </c>
    </row>
    <row r="29" spans="1:4" x14ac:dyDescent="0.25">
      <c r="A29" s="4" t="s">
        <v>41</v>
      </c>
      <c r="B29" s="4" t="s">
        <v>50</v>
      </c>
    </row>
    <row r="30" spans="1:4" x14ac:dyDescent="0.25">
      <c r="A30" s="4" t="s">
        <v>43</v>
      </c>
      <c r="B30" s="4" t="s">
        <v>51</v>
      </c>
    </row>
  </sheetData>
  <mergeCells count="3">
    <mergeCell ref="A1:A8"/>
    <mergeCell ref="A9:A17"/>
    <mergeCell ref="A18:A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798DD-1D29-46D7-B465-8DFCE24E052B}">
  <dimension ref="A1:D27"/>
  <sheetViews>
    <sheetView workbookViewId="0">
      <selection activeCell="B1" sqref="B1"/>
    </sheetView>
  </sheetViews>
  <sheetFormatPr defaultRowHeight="15" x14ac:dyDescent="0.25"/>
  <cols>
    <col min="1" max="1" width="37.5703125" customWidth="1"/>
    <col min="2" max="2" width="40.7109375" customWidth="1"/>
  </cols>
  <sheetData>
    <row r="1" spans="1:4" x14ac:dyDescent="0.25">
      <c r="A1" s="8" t="s">
        <v>12</v>
      </c>
      <c r="B1" s="1" t="s">
        <v>20</v>
      </c>
      <c r="C1" s="2">
        <v>0.6</v>
      </c>
      <c r="D1" s="1" t="s">
        <v>0</v>
      </c>
    </row>
    <row r="2" spans="1:4" x14ac:dyDescent="0.25">
      <c r="A2" s="8"/>
      <c r="B2" s="1" t="s">
        <v>9</v>
      </c>
      <c r="C2" s="1">
        <v>1.32</v>
      </c>
      <c r="D2" s="1" t="s">
        <v>0</v>
      </c>
    </row>
    <row r="3" spans="1:4" x14ac:dyDescent="0.25">
      <c r="A3" s="8"/>
      <c r="B3" s="1" t="s">
        <v>10</v>
      </c>
      <c r="C3" s="1">
        <v>65</v>
      </c>
      <c r="D3" s="1" t="s">
        <v>0</v>
      </c>
    </row>
    <row r="4" spans="1:4" x14ac:dyDescent="0.25">
      <c r="A4" s="8"/>
      <c r="B4" s="1" t="s">
        <v>16</v>
      </c>
      <c r="C4" s="1">
        <v>1.6</v>
      </c>
      <c r="D4" s="1" t="s">
        <v>0</v>
      </c>
    </row>
    <row r="5" spans="1:4" x14ac:dyDescent="0.25">
      <c r="A5" s="8"/>
      <c r="B5" s="1" t="s">
        <v>1</v>
      </c>
      <c r="C5" s="1">
        <v>10.8</v>
      </c>
      <c r="D5" s="1" t="s">
        <v>2</v>
      </c>
    </row>
    <row r="6" spans="1:4" x14ac:dyDescent="0.25">
      <c r="A6" s="8"/>
      <c r="B6" s="1" t="s">
        <v>3</v>
      </c>
      <c r="C6" s="1">
        <v>6.08</v>
      </c>
      <c r="D6" s="1" t="s">
        <v>2</v>
      </c>
    </row>
    <row r="7" spans="1:4" x14ac:dyDescent="0.25">
      <c r="A7" s="8"/>
      <c r="B7" s="1" t="s">
        <v>13</v>
      </c>
      <c r="C7" s="1">
        <v>931.58</v>
      </c>
      <c r="D7" s="1" t="s">
        <v>6</v>
      </c>
    </row>
    <row r="8" spans="1:4" x14ac:dyDescent="0.25">
      <c r="A8" s="8" t="s">
        <v>31</v>
      </c>
      <c r="B8" s="3" t="s">
        <v>20</v>
      </c>
      <c r="C8" s="3">
        <v>0.6</v>
      </c>
      <c r="D8" s="3" t="s">
        <v>0</v>
      </c>
    </row>
    <row r="9" spans="1:4" x14ac:dyDescent="0.25">
      <c r="A9" s="8"/>
      <c r="B9" s="3" t="s">
        <v>9</v>
      </c>
      <c r="C9" s="3">
        <v>1.32</v>
      </c>
      <c r="D9" s="3" t="s">
        <v>0</v>
      </c>
    </row>
    <row r="10" spans="1:4" x14ac:dyDescent="0.25">
      <c r="A10" s="8"/>
      <c r="B10" s="3" t="s">
        <v>10</v>
      </c>
      <c r="C10" s="3">
        <v>65</v>
      </c>
      <c r="D10" s="3" t="s">
        <v>0</v>
      </c>
    </row>
    <row r="11" spans="1:4" x14ac:dyDescent="0.25">
      <c r="A11" s="8"/>
      <c r="B11" s="3" t="s">
        <v>7</v>
      </c>
      <c r="C11" s="3">
        <v>1.5</v>
      </c>
      <c r="D11" s="3" t="s">
        <v>0</v>
      </c>
    </row>
    <row r="12" spans="1:4" x14ac:dyDescent="0.25">
      <c r="A12" s="8"/>
      <c r="B12" s="3" t="s">
        <v>1</v>
      </c>
      <c r="C12" s="3">
        <v>10.8</v>
      </c>
      <c r="D12" s="3" t="s">
        <v>2</v>
      </c>
    </row>
    <row r="13" spans="1:4" x14ac:dyDescent="0.25">
      <c r="A13" s="8"/>
      <c r="B13" s="3" t="s">
        <v>3</v>
      </c>
      <c r="C13" s="3">
        <v>6.08</v>
      </c>
      <c r="D13" s="3" t="s">
        <v>2</v>
      </c>
    </row>
    <row r="14" spans="1:4" x14ac:dyDescent="0.25">
      <c r="A14" s="8"/>
      <c r="B14" s="3" t="s">
        <v>24</v>
      </c>
      <c r="C14" s="3">
        <v>55</v>
      </c>
      <c r="D14" s="3" t="s">
        <v>0</v>
      </c>
    </row>
    <row r="15" spans="1:4" x14ac:dyDescent="0.25">
      <c r="A15" s="8"/>
      <c r="B15" s="3" t="s">
        <v>33</v>
      </c>
      <c r="C15" s="3">
        <v>876.58</v>
      </c>
      <c r="D15" s="3" t="s">
        <v>6</v>
      </c>
    </row>
    <row r="16" spans="1:4" x14ac:dyDescent="0.25">
      <c r="A16" s="8" t="s">
        <v>35</v>
      </c>
      <c r="B16" s="3" t="s">
        <v>20</v>
      </c>
      <c r="C16" s="5">
        <v>0.6</v>
      </c>
      <c r="D16" s="6" t="s">
        <v>0</v>
      </c>
    </row>
    <row r="17" spans="1:4" x14ac:dyDescent="0.25">
      <c r="A17" s="8"/>
      <c r="B17" s="4" t="s">
        <v>9</v>
      </c>
      <c r="C17" s="5">
        <v>1.5</v>
      </c>
      <c r="D17" s="6" t="s">
        <v>0</v>
      </c>
    </row>
    <row r="18" spans="1:4" x14ac:dyDescent="0.25">
      <c r="A18" s="8"/>
      <c r="B18" s="4" t="s">
        <v>10</v>
      </c>
      <c r="C18" s="5">
        <v>65</v>
      </c>
      <c r="D18" s="6" t="s">
        <v>0</v>
      </c>
    </row>
    <row r="19" spans="1:4" x14ac:dyDescent="0.25">
      <c r="A19" s="8"/>
      <c r="B19" s="4" t="s">
        <v>7</v>
      </c>
      <c r="C19" s="5">
        <v>0.2</v>
      </c>
      <c r="D19" s="6" t="s">
        <v>0</v>
      </c>
    </row>
    <row r="20" spans="1:4" x14ac:dyDescent="0.25">
      <c r="A20" s="8"/>
      <c r="B20" s="4" t="s">
        <v>1</v>
      </c>
      <c r="C20" s="5">
        <v>10.8</v>
      </c>
      <c r="D20" s="6" t="s">
        <v>2</v>
      </c>
    </row>
    <row r="21" spans="1:4" x14ac:dyDescent="0.25">
      <c r="A21" s="8"/>
      <c r="B21" s="4" t="s">
        <v>3</v>
      </c>
      <c r="C21" s="5">
        <v>6.08</v>
      </c>
      <c r="D21" s="6" t="s">
        <v>2</v>
      </c>
    </row>
    <row r="22" spans="1:4" x14ac:dyDescent="0.25">
      <c r="A22" s="8"/>
      <c r="B22" s="4" t="s">
        <v>34</v>
      </c>
      <c r="C22" s="5">
        <v>931.58</v>
      </c>
      <c r="D22" s="6" t="s">
        <v>6</v>
      </c>
    </row>
    <row r="23" spans="1:4" x14ac:dyDescent="0.25">
      <c r="A23" s="4" t="s">
        <v>45</v>
      </c>
      <c r="B23" s="4" t="s">
        <v>46</v>
      </c>
    </row>
    <row r="24" spans="1:4" x14ac:dyDescent="0.25">
      <c r="A24" s="4" t="s">
        <v>37</v>
      </c>
      <c r="B24" s="4" t="s">
        <v>47</v>
      </c>
    </row>
    <row r="25" spans="1:4" x14ac:dyDescent="0.25">
      <c r="A25" s="4" t="s">
        <v>48</v>
      </c>
      <c r="B25" s="4" t="s">
        <v>49</v>
      </c>
    </row>
    <row r="26" spans="1:4" x14ac:dyDescent="0.25">
      <c r="A26" s="4" t="s">
        <v>41</v>
      </c>
      <c r="B26" s="4" t="s">
        <v>50</v>
      </c>
    </row>
    <row r="27" spans="1:4" x14ac:dyDescent="0.25">
      <c r="A27" s="4" t="s">
        <v>43</v>
      </c>
      <c r="B27" s="4" t="s">
        <v>51</v>
      </c>
    </row>
  </sheetData>
  <mergeCells count="3">
    <mergeCell ref="A1:A7"/>
    <mergeCell ref="A8:A15"/>
    <mergeCell ref="A16:A2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53a3e56-6716-49de-976b-a32f38d62abd}" enabled="1" method="Privileged" siteId="{8a1b63b5-f3e5-4cbd-b1bd-5f2fc7f68c4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Sheet1 (2)</vt:lpstr>
      <vt:lpstr>Sheet3</vt:lpstr>
      <vt:lpstr>Sheet4 (2)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Akbar Arakkal</dc:creator>
  <cp:lastModifiedBy>JAOUANI Mohamed Badis</cp:lastModifiedBy>
  <dcterms:created xsi:type="dcterms:W3CDTF">2025-07-16T07:25:08Z</dcterms:created>
  <dcterms:modified xsi:type="dcterms:W3CDTF">2025-09-24T11:20:09Z</dcterms:modified>
</cp:coreProperties>
</file>